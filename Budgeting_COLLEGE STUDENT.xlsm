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itzy\Documents\"/>
    </mc:Choice>
  </mc:AlternateContent>
  <xr:revisionPtr revIDLastSave="0" documentId="8_{8FBDA6E4-5678-408C-96C5-EA670E245666}" xr6:coauthVersionLast="47" xr6:coauthVersionMax="47" xr10:uidLastSave="{00000000-0000-0000-0000-000000000000}"/>
  <bookViews>
    <workbookView xWindow="-110" yWindow="-110" windowWidth="19420" windowHeight="11020" xr2:uid="{2CC576DF-AADB-4220-9DA6-D653EB7D564F}"/>
  </bookViews>
  <sheets>
    <sheet name="ME Money " sheetId="2" r:id="rId1"/>
    <sheet name="Monthly" sheetId="1" r:id="rId2"/>
  </sheets>
  <definedNames>
    <definedName name="Months_in_semester">Monthly!$J$27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  <c r="K3" i="2"/>
  <c r="K4" i="2"/>
  <c r="K5" i="2"/>
  <c r="F4" i="2"/>
  <c r="F3" i="2"/>
  <c r="F2" i="2"/>
  <c r="B6" i="2"/>
  <c r="B4" i="2"/>
  <c r="B3" i="2"/>
  <c r="B2" i="2"/>
  <c r="F40" i="1"/>
  <c r="I36" i="1"/>
  <c r="J35" i="1"/>
  <c r="J34" i="1"/>
  <c r="J33" i="1"/>
  <c r="C33" i="1"/>
  <c r="J32" i="1"/>
  <c r="J31" i="1"/>
  <c r="J30" i="1"/>
  <c r="J36" i="1" l="1"/>
</calcChain>
</file>

<file path=xl/sharedStrings.xml><?xml version="1.0" encoding="utf-8"?>
<sst xmlns="http://schemas.openxmlformats.org/spreadsheetml/2006/main" count="49" uniqueCount="43">
  <si>
    <t>Monthly income</t>
  </si>
  <si>
    <t>Monthly expenses</t>
  </si>
  <si>
    <t>Semester expenses</t>
  </si>
  <si>
    <t>Semester length (months):</t>
  </si>
  <si>
    <t>Item</t>
  </si>
  <si>
    <t>Amount</t>
  </si>
  <si>
    <t>Fixed income</t>
  </si>
  <si>
    <t>Rent</t>
  </si>
  <si>
    <t>Per month</t>
  </si>
  <si>
    <t>Financial aid</t>
  </si>
  <si>
    <t>Utilities</t>
  </si>
  <si>
    <t>Tuition</t>
  </si>
  <si>
    <t>Loans</t>
  </si>
  <si>
    <t>Cell phone</t>
  </si>
  <si>
    <t>Lab fees</t>
  </si>
  <si>
    <t>Other income</t>
  </si>
  <si>
    <t>Groceries</t>
  </si>
  <si>
    <t>Books</t>
  </si>
  <si>
    <t>Total</t>
  </si>
  <si>
    <t>Auto expenses</t>
  </si>
  <si>
    <t>Deposits</t>
  </si>
  <si>
    <t>Student loans</t>
  </si>
  <si>
    <t>Transportation</t>
  </si>
  <si>
    <t>Credit cards</t>
  </si>
  <si>
    <t>Other fees</t>
  </si>
  <si>
    <t>Insurance</t>
  </si>
  <si>
    <t>Hair cuts</t>
  </si>
  <si>
    <t>Entertainment</t>
  </si>
  <si>
    <t>Miscellaneous</t>
  </si>
  <si>
    <t>Budget(2024)</t>
  </si>
  <si>
    <t xml:space="preserve">Monthly Income </t>
  </si>
  <si>
    <t>Expenses</t>
  </si>
  <si>
    <t xml:space="preserve">School Expense </t>
  </si>
  <si>
    <t xml:space="preserve">Remainder </t>
  </si>
  <si>
    <t xml:space="preserve">Emergency </t>
  </si>
  <si>
    <t xml:space="preserve">Savings </t>
  </si>
  <si>
    <t>Me</t>
  </si>
  <si>
    <t>Week 1</t>
  </si>
  <si>
    <t xml:space="preserve">week 2 </t>
  </si>
  <si>
    <t xml:space="preserve">Week3 </t>
  </si>
  <si>
    <t>Week 4</t>
  </si>
  <si>
    <t xml:space="preserve">BASICS </t>
  </si>
  <si>
    <t xml:space="preserve">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</si>
</sst>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[$$-409]#,##0_ ;\-[$$-409]#,##0\ "/>
    <numFmt numFmtId="165" formatCode="&quot;$&quot;#,##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  <font>
      <b/>
      <sz val="80"/>
      <color theme="1"/>
      <name val="Aptos Display"/>
      <family val="2"/>
      <scheme val="major"/>
    </font>
    <font>
      <sz val="80"/>
      <color theme="1"/>
      <name val="Aptos Display"/>
      <family val="2"/>
      <scheme val="major"/>
    </font>
    <font>
      <sz val="11"/>
      <color rgb="FFFF0000"/>
      <name val="Aptos Narrow"/>
      <family val="2"/>
      <charset val="238"/>
      <scheme val="minor"/>
    </font>
    <font>
      <b/>
      <sz val="12"/>
      <name val="Aptos Narrow"/>
      <family val="2"/>
      <charset val="238"/>
      <scheme val="minor"/>
    </font>
    <font>
      <b/>
      <sz val="26"/>
      <color theme="0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36">
    <xf numFmtId="0" fontId="0" fillId="0" borderId="0" xfId="0"/>
    <xf numFmtId="0" fontId="3" fillId="0" borderId="0" xfId="0" applyFont="1"/>
    <xf numFmtId="0" fontId="6" fillId="0" borderId="0" xfId="0" applyFo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 applyAlignment="1">
      <alignment wrapText="1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right" vertical="center" indent="1"/>
    </xf>
    <xf numFmtId="44" fontId="0" fillId="0" borderId="0" xfId="1" applyFont="1"/>
    <xf numFmtId="165" fontId="9" fillId="0" borderId="0" xfId="1" applyNumberFormat="1" applyFont="1" applyFill="1" applyBorder="1" applyAlignment="1">
      <alignment horizontal="right" vertical="center" indent="1"/>
    </xf>
    <xf numFmtId="0" fontId="0" fillId="3" borderId="0" xfId="0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0" fillId="0" borderId="0" xfId="0" applyFont="1"/>
    <xf numFmtId="0" fontId="0" fillId="0" borderId="10" xfId="0" applyBorder="1"/>
    <xf numFmtId="44" fontId="0" fillId="0" borderId="10" xfId="1" applyFont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3" borderId="1" xfId="2" applyFont="1" applyFill="1" applyAlignment="1">
      <alignment horizontal="center" vertical="center"/>
    </xf>
    <xf numFmtId="0" fontId="7" fillId="4" borderId="1" xfId="2" applyFont="1" applyFill="1" applyAlignment="1">
      <alignment horizontal="center" vertical="center"/>
    </xf>
    <xf numFmtId="0" fontId="7" fillId="0" borderId="1" xfId="2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3">
    <cellStyle name="Currency" xfId="1" builtinId="4"/>
    <cellStyle name="Heading 1" xfId="2" builtinId="16"/>
    <cellStyle name="Normal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165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numFmt numFmtId="164" formatCode="[$$-409]#,##0_ ;\-[$$-409]#,##0\ 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</dxf>
    <dxf>
      <numFmt numFmtId="164" formatCode="[$$-409]#,##0_ ;\-[$$-409]#,##0\ "/>
      <alignment horizontal="center" vertical="center" textRotation="0" wrapText="0" indent="0" justifyLastLine="0" shrinkToFit="0" readingOrder="0"/>
    </dxf>
    <dxf>
      <numFmt numFmtId="164" formatCode="[$$-409]#,##0_ ;\-[$$-409]#,##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1" justifyLastLine="0" shrinkToFit="0" readingOrder="0"/>
    </dxf>
    <dxf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164" formatCode="[$$-409]#,##0_ ;\-[$$-409]#,##0\ 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164" formatCode="[$$-409]#,##0_ ;\-[$$-409]#,##0\ 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left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1" justifyLastLine="0" shrinkToFit="0" readingOrder="0"/>
    </dxf>
    <dxf>
      <alignment horizontal="left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1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_-[$$-409]* #,##0_ ;_-[$$-409]* \-#,##0\ ;_-[$$-409]* &quot;-&quot;??_ ;_-@_ 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numFmt numFmtId="164" formatCode="[$$-409]#,##0_ ;\-[$$-409]#,##0\ 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alignment horizontal="left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textRotation="0" wrapText="0" indent="1" justifyLastLine="0" shrinkToFit="0" readingOrder="0"/>
    </dxf>
    <dxf>
      <alignment horizontal="left" textRotation="0" wrapText="0" indent="1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top style="medium">
          <color theme="4"/>
        </top>
      </border>
    </dxf>
    <dxf>
      <font>
        <b/>
        <i val="0"/>
        <color theme="1"/>
      </font>
      <fill>
        <patternFill patternType="solid">
          <fgColor theme="6"/>
          <bgColor theme="4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top style="medium">
          <color theme="9" tint="-0.24994659260841701"/>
        </top>
      </border>
    </dxf>
    <dxf>
      <font>
        <b/>
        <i val="0"/>
        <color theme="1"/>
      </font>
      <fill>
        <patternFill patternType="solid">
          <fgColor theme="6"/>
          <bgColor theme="9" tint="-0.24994659260841701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top style="medium">
          <color theme="6" tint="-0.24994659260841701"/>
        </top>
      </border>
    </dxf>
    <dxf>
      <font>
        <b/>
        <i val="0"/>
        <color theme="1"/>
      </font>
      <fill>
        <patternFill patternType="solid">
          <fgColor theme="6"/>
          <bgColor theme="6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College Budget" pivot="0" count="4" xr9:uid="{A29573FC-1B18-4159-88E1-DEEE51FB11CA}">
      <tableStyleElement type="wholeTable" dxfId="34"/>
      <tableStyleElement type="headerRow" dxfId="33"/>
      <tableStyleElement type="totalRow" dxfId="32"/>
      <tableStyleElement type="firstRowStripe" dxfId="31"/>
    </tableStyle>
    <tableStyle name="Monthly Expenses" pivot="0" count="4" xr9:uid="{DCAA299B-1958-4439-A873-20C3BDC16F13}">
      <tableStyleElement type="wholeTable" dxfId="30"/>
      <tableStyleElement type="headerRow" dxfId="29"/>
      <tableStyleElement type="totalRow" dxfId="28"/>
      <tableStyleElement type="firstRowStripe" dxfId="27"/>
    </tableStyle>
    <tableStyle name="Monthly Income" pivot="0" count="4" xr9:uid="{1C17AC62-E399-44AB-A4EC-90C14E00E0B7}">
      <tableStyleElement type="wholeTable" dxfId="26"/>
      <tableStyleElement type="headerRow" dxfId="25"/>
      <tableStyleElement type="totalRow" dxfId="24"/>
      <tableStyleElement type="firstRowStripe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Expenses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315-4C31-B1A2-5FE78BCE166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2315-4C31-B1A2-5FE78BCE1668}"/>
              </c:ext>
            </c:extLst>
          </c:dPt>
          <c:dPt>
            <c:idx val="2"/>
            <c:bubble3D val="0"/>
            <c:spPr>
              <a:solidFill>
                <a:schemeClr val="accent4">
                  <a:tint val="6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315-4C31-B1A2-5FE78BCE166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315-4C31-B1A2-5FE78BCE166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2315-4C31-B1A2-5FE78BCE166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tint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2315-4C31-B1A2-5FE78BCE166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'ME Money '!$E$2:$E$4</c:f>
              <c:strCache>
                <c:ptCount val="3"/>
                <c:pt idx="0">
                  <c:v>Emergency </c:v>
                </c:pt>
                <c:pt idx="1">
                  <c:v>Savings </c:v>
                </c:pt>
                <c:pt idx="2">
                  <c:v>Me</c:v>
                </c:pt>
              </c:strCache>
            </c:strRef>
          </c:cat>
          <c:val>
            <c:numRef>
              <c:f>'ME Money '!$F$2:$F$4</c:f>
              <c:numCache>
                <c:formatCode>General</c:formatCode>
                <c:ptCount val="3"/>
                <c:pt idx="0">
                  <c:v>73.025000000000006</c:v>
                </c:pt>
                <c:pt idx="1">
                  <c:v>146.05000000000001</c:v>
                </c:pt>
                <c:pt idx="2">
                  <c:v>511.17499999999995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15-4C31-B1A2-5FE78BCE1668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Monthly expenses</a:t>
            </a:r>
          </a:p>
        </c:rich>
      </c:tx>
      <c:layout>
        <c:manualLayout>
          <c:xMode val="edge"/>
          <c:yMode val="edge"/>
          <c:x val="0.30645984251968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41046351"/>
        <c:axId val="123016767"/>
      </c:barChart>
      <c:catAx>
        <c:axId val="1410463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016767"/>
        <c:crosses val="autoZero"/>
        <c:auto val="1"/>
        <c:lblAlgn val="ctr"/>
        <c:lblOffset val="100"/>
        <c:noMultiLvlLbl val="0"/>
      </c:catAx>
      <c:valAx>
        <c:axId val="123016767"/>
        <c:scaling>
          <c:orientation val="minMax"/>
        </c:scaling>
        <c:delete val="1"/>
        <c:axPos val="t"/>
        <c:numFmt formatCode="[$$-409]#,##0_ ;\-[$$-409]#,##0\ " sourceLinked="1"/>
        <c:majorTickMark val="none"/>
        <c:minorTickMark val="none"/>
        <c:tickLblPos val="nextTo"/>
        <c:crossAx val="14104635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200" b="1"/>
              <a:t>Semester </a:t>
            </a:r>
            <a:r>
              <a:rPr lang="en-US" sz="1200" b="1"/>
              <a:t>e</a:t>
            </a:r>
            <a:r>
              <a:rPr lang="pl-PL" sz="1200" b="1"/>
              <a:t>xpenses (per month)</a:t>
            </a:r>
          </a:p>
        </c:rich>
      </c:tx>
      <c:layout>
        <c:manualLayout>
          <c:xMode val="edge"/>
          <c:yMode val="edge"/>
          <c:x val="0.2404444444444444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2508751"/>
        <c:axId val="130950607"/>
      </c:barChart>
      <c:catAx>
        <c:axId val="13250875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0607"/>
        <c:crosses val="autoZero"/>
        <c:auto val="1"/>
        <c:lblAlgn val="ctr"/>
        <c:lblOffset val="100"/>
        <c:noMultiLvlLbl val="0"/>
      </c:catAx>
      <c:valAx>
        <c:axId val="130950607"/>
        <c:scaling>
          <c:orientation val="minMax"/>
        </c:scaling>
        <c:delete val="1"/>
        <c:axPos val="t"/>
        <c:numFmt formatCode="[$$-409]#,##0_ ;\-[$$-409]#,##0\ " sourceLinked="1"/>
        <c:majorTickMark val="none"/>
        <c:minorTickMark val="none"/>
        <c:tickLblPos val="nextTo"/>
        <c:crossAx val="13250875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Monthly income</a:t>
            </a:r>
          </a:p>
        </c:rich>
      </c:tx>
      <c:layout>
        <c:manualLayout>
          <c:xMode val="edge"/>
          <c:yMode val="edge"/>
          <c:x val="0.327269921259842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318224607"/>
        <c:axId val="411493695"/>
      </c:barChart>
      <c:catAx>
        <c:axId val="3182246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93695"/>
        <c:crosses val="autoZero"/>
        <c:auto val="1"/>
        <c:lblAlgn val="ctr"/>
        <c:lblOffset val="100"/>
        <c:tickLblSkip val="1"/>
        <c:noMultiLvlLbl val="0"/>
      </c:catAx>
      <c:valAx>
        <c:axId val="411493695"/>
        <c:scaling>
          <c:orientation val="minMax"/>
        </c:scaling>
        <c:delete val="1"/>
        <c:axPos val="t"/>
        <c:numFmt formatCode="[$$-409]#,##0_ ;\-[$$-409]#,##0\ " sourceLinked="1"/>
        <c:majorTickMark val="none"/>
        <c:minorTickMark val="none"/>
        <c:tickLblPos val="nextTo"/>
        <c:crossAx val="31822460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Semester</a:t>
            </a:r>
            <a:r>
              <a:rPr lang="en-US" baseline="0"/>
              <a:t> Expenses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Monthly!$I$29</c:f>
              <c:strCache>
                <c:ptCount val="1"/>
                <c:pt idx="0">
                  <c:v>Amount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Monthly!$H$30:$H$35</c:f>
              <c:strCache>
                <c:ptCount val="6"/>
                <c:pt idx="0">
                  <c:v>Tuition</c:v>
                </c:pt>
                <c:pt idx="1">
                  <c:v>Lab fees</c:v>
                </c:pt>
                <c:pt idx="2">
                  <c:v>Books</c:v>
                </c:pt>
                <c:pt idx="3">
                  <c:v>Deposits</c:v>
                </c:pt>
                <c:pt idx="4">
                  <c:v>Transportation</c:v>
                </c:pt>
                <c:pt idx="5">
                  <c:v>Other fees</c:v>
                </c:pt>
              </c:strCache>
            </c:strRef>
          </c:cat>
          <c:val>
            <c:numRef>
              <c:f>Monthly!$I$30:$I$35</c:f>
              <c:numCache>
                <c:formatCode>[$$-409]#,##0_ ;\-[$$-409]#,##0\ </c:formatCode>
                <c:ptCount val="6"/>
                <c:pt idx="0">
                  <c:v>590</c:v>
                </c:pt>
                <c:pt idx="1">
                  <c:v>150</c:v>
                </c:pt>
                <c:pt idx="2">
                  <c:v>200</c:v>
                </c:pt>
                <c:pt idx="3">
                  <c:v>0</c:v>
                </c:pt>
                <c:pt idx="4">
                  <c:v>150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9-4CA6-88C4-D0B8B98D009A}"/>
            </c:ext>
          </c:extLst>
        </c:ser>
        <c:ser>
          <c:idx val="1"/>
          <c:order val="1"/>
          <c:tx>
            <c:strRef>
              <c:f>Monthly!$J$29</c:f>
              <c:strCache>
                <c:ptCount val="1"/>
                <c:pt idx="0">
                  <c:v>Per month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Monthly!$H$30:$H$35</c:f>
              <c:strCache>
                <c:ptCount val="6"/>
                <c:pt idx="0">
                  <c:v>Tuition</c:v>
                </c:pt>
                <c:pt idx="1">
                  <c:v>Lab fees</c:v>
                </c:pt>
                <c:pt idx="2">
                  <c:v>Books</c:v>
                </c:pt>
                <c:pt idx="3">
                  <c:v>Deposits</c:v>
                </c:pt>
                <c:pt idx="4">
                  <c:v>Transportation</c:v>
                </c:pt>
                <c:pt idx="5">
                  <c:v>Other fees</c:v>
                </c:pt>
              </c:strCache>
            </c:strRef>
          </c:cat>
          <c:val>
            <c:numRef>
              <c:f>Monthly!$J$30:$J$35</c:f>
              <c:numCache>
                <c:formatCode>[$$-409]#,##0_ ;\-[$$-409]#,##0\ </c:formatCode>
                <c:ptCount val="6"/>
                <c:pt idx="0">
                  <c:v>147.5</c:v>
                </c:pt>
                <c:pt idx="1">
                  <c:v>37.5</c:v>
                </c:pt>
                <c:pt idx="2">
                  <c:v>50</c:v>
                </c:pt>
                <c:pt idx="3">
                  <c:v>0</c:v>
                </c:pt>
                <c:pt idx="4">
                  <c:v>37.5</c:v>
                </c:pt>
                <c:pt idx="5">
                  <c:v>22.25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A9-4CA6-88C4-D0B8B98D0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85836544"/>
        <c:axId val="385835584"/>
      </c:barChart>
      <c:catAx>
        <c:axId val="385836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5584"/>
        <c:crosses val="autoZero"/>
        <c:auto val="1"/>
        <c:lblAlgn val="ctr"/>
        <c:lblOffset val="100"/>
        <c:noMultiLvlLbl val="0"/>
      </c:catAx>
      <c:valAx>
        <c:axId val="38583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_ ;\-[$$-409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83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Expenses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Monthly!$E$29:$E$39</c:f>
              <c:strCache>
                <c:ptCount val="11"/>
                <c:pt idx="0">
                  <c:v>Rent</c:v>
                </c:pt>
                <c:pt idx="1">
                  <c:v>Utilities</c:v>
                </c:pt>
                <c:pt idx="2">
                  <c:v>Cell phone</c:v>
                </c:pt>
                <c:pt idx="3">
                  <c:v>Groceries</c:v>
                </c:pt>
                <c:pt idx="4">
                  <c:v>Auto expenses</c:v>
                </c:pt>
                <c:pt idx="5">
                  <c:v>Student loans</c:v>
                </c:pt>
                <c:pt idx="6">
                  <c:v>Credit cards</c:v>
                </c:pt>
                <c:pt idx="7">
                  <c:v>Insurance</c:v>
                </c:pt>
                <c:pt idx="8">
                  <c:v>Hair cuts</c:v>
                </c:pt>
                <c:pt idx="9">
                  <c:v>Entertainment</c:v>
                </c:pt>
                <c:pt idx="10">
                  <c:v>Miscellaneous</c:v>
                </c:pt>
              </c:strCache>
            </c:strRef>
          </c:cat>
          <c:val>
            <c:numRef>
              <c:f>Monthly!$F$29:$F$39</c:f>
              <c:numCache>
                <c:formatCode>[$$-409]#,##0_ ;\-[$$-409]#,##0\ </c:formatCode>
                <c:ptCount val="11"/>
                <c:pt idx="0">
                  <c:v>350</c:v>
                </c:pt>
                <c:pt idx="1">
                  <c:v>50</c:v>
                </c:pt>
                <c:pt idx="2">
                  <c:v>75</c:v>
                </c:pt>
                <c:pt idx="3">
                  <c:v>250</c:v>
                </c:pt>
                <c:pt idx="4">
                  <c:v>50</c:v>
                </c:pt>
                <c:pt idx="5">
                  <c:v>500</c:v>
                </c:pt>
                <c:pt idx="6">
                  <c:v>275</c:v>
                </c:pt>
                <c:pt idx="7">
                  <c:v>125</c:v>
                </c:pt>
                <c:pt idx="8">
                  <c:v>50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B4-4C56-8437-6DC60A0C3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65877775"/>
        <c:axId val="1665878735"/>
      </c:barChart>
      <c:catAx>
        <c:axId val="1665877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878735"/>
        <c:crosses val="autoZero"/>
        <c:auto val="1"/>
        <c:lblAlgn val="ctr"/>
        <c:lblOffset val="100"/>
        <c:noMultiLvlLbl val="0"/>
      </c:catAx>
      <c:valAx>
        <c:axId val="1665878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_ ;\-[$$-409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877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  <a:r>
              <a:rPr lang="en-US" baseline="0"/>
              <a:t> income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Monthly!$B$29:$B$32</c:f>
              <c:strCache>
                <c:ptCount val="4"/>
                <c:pt idx="0">
                  <c:v>Fixed income</c:v>
                </c:pt>
                <c:pt idx="1">
                  <c:v>Financial aid</c:v>
                </c:pt>
                <c:pt idx="2">
                  <c:v>Loans</c:v>
                </c:pt>
                <c:pt idx="3">
                  <c:v>Other income</c:v>
                </c:pt>
              </c:strCache>
            </c:strRef>
          </c:cat>
          <c:val>
            <c:numRef>
              <c:f>Monthly!$C$29:$C$32</c:f>
              <c:numCache>
                <c:formatCode>[$$-409]#,##0_ ;\-[$$-409]#,##0\ </c:formatCode>
                <c:ptCount val="4"/>
                <c:pt idx="0">
                  <c:v>1500</c:v>
                </c:pt>
                <c:pt idx="1">
                  <c:v>500</c:v>
                </c:pt>
                <c:pt idx="2">
                  <c:v>500</c:v>
                </c:pt>
                <c:pt idx="3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B-4DEA-9C4C-8A2CFCBEE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63007215"/>
        <c:axId val="1663007695"/>
      </c:barChart>
      <c:catAx>
        <c:axId val="1663007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7695"/>
        <c:crosses val="autoZero"/>
        <c:auto val="1"/>
        <c:lblAlgn val="ctr"/>
        <c:lblOffset val="100"/>
        <c:noMultiLvlLbl val="0"/>
      </c:catAx>
      <c:valAx>
        <c:axId val="1663007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_ ;\-[$$-409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346075</xdr:colOff>
      <xdr:row>7</xdr:row>
      <xdr:rowOff>73025</xdr:rowOff>
    </xdr:from>
    <xdr:to>
      <xdr:col>9</xdr:col>
      <xdr:colOff>41275</xdr:colOff>
      <xdr:row>22</xdr:row>
      <xdr:rowOff>53975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694AB1-5510-4DD6-1A9D-54A8971AB6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7</xdr:col>
      <xdr:colOff>187817</xdr:colOff>
      <xdr:row>23</xdr:row>
      <xdr:rowOff>0</xdr:rowOff>
    </xdr:to>
    <xdr:graphicFrame macro="">
      <xdr:nvGraphicFramePr>
        <xdr:cNvPr id="3" name="Chart 2" descr="monthly expenses chart">
          <a:extLst>
            <a:ext uri="{FF2B5EF4-FFF2-40B4-BE49-F238E27FC236}">
              <a16:creationId xmlns:a16="http://schemas.microsoft.com/office/drawing/2014/main" id="{F5AE27E4-3790-401A-A02A-E8C53EAFD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10</xdr:col>
      <xdr:colOff>0</xdr:colOff>
      <xdr:row>23</xdr:row>
      <xdr:rowOff>0</xdr:rowOff>
    </xdr:to>
    <xdr:graphicFrame macro="">
      <xdr:nvGraphicFramePr>
        <xdr:cNvPr id="4" name="Chart 3" descr="college semester expenses chart">
          <a:extLst>
            <a:ext uri="{FF2B5EF4-FFF2-40B4-BE49-F238E27FC236}">
              <a16:creationId xmlns:a16="http://schemas.microsoft.com/office/drawing/2014/main" id="{2B068E42-FF21-4618-9656-E07AF1DFF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11</xdr:row>
      <xdr:rowOff>1</xdr:rowOff>
    </xdr:from>
    <xdr:to>
      <xdr:col>3</xdr:col>
      <xdr:colOff>0</xdr:colOff>
      <xdr:row>24</xdr:row>
      <xdr:rowOff>1</xdr:rowOff>
    </xdr:to>
    <xdr:graphicFrame macro="">
      <xdr:nvGraphicFramePr>
        <xdr:cNvPr id="5" name="Chart 4" descr="monthly income chart">
          <a:extLst>
            <a:ext uri="{FF2B5EF4-FFF2-40B4-BE49-F238E27FC236}">
              <a16:creationId xmlns:a16="http://schemas.microsoft.com/office/drawing/2014/main" id="{2BC7F671-3DAD-4606-97FC-007B6A718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240844</xdr:colOff>
      <xdr:row>10</xdr:row>
      <xdr:rowOff>158751</xdr:rowOff>
    </xdr:from>
    <xdr:to>
      <xdr:col>10</xdr:col>
      <xdr:colOff>62120</xdr:colOff>
      <xdr:row>21</xdr:row>
      <xdr:rowOff>138044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C818880-B249-BF7F-85A0-264A458639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431300</xdr:colOff>
      <xdr:row>10</xdr:row>
      <xdr:rowOff>182252</xdr:rowOff>
    </xdr:from>
    <xdr:to>
      <xdr:col>7</xdr:col>
      <xdr:colOff>69022</xdr:colOff>
      <xdr:row>20</xdr:row>
      <xdr:rowOff>158748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7A4816D-20F9-7084-4581-0C87DEA716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385141</xdr:colOff>
      <xdr:row>10</xdr:row>
      <xdr:rowOff>167584</xdr:rowOff>
    </xdr:from>
    <xdr:to>
      <xdr:col>3</xdr:col>
      <xdr:colOff>310598</xdr:colOff>
      <xdr:row>20</xdr:row>
      <xdr:rowOff>110434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01947F3-740C-FE89-CB69-9BACAFA95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DFB253-F857-453A-8E56-C730B51B24C0}" name="Monthly_Income" displayName="Monthly_Income" ref="B28:C33" totalsRowCount="1" headerRowDxfId="22" dataDxfId="21" totalsRowDxfId="20">
  <autoFilter ref="B28:C32" xr:uid="{64DFB253-F857-453A-8E56-C730B51B24C0}"/>
  <tableColumns count="2">
    <tableColumn id="1" xr3:uid="{E5394097-FA6B-4AE8-AE51-8D8B9FEC7A14}" name="Item" totalsRowLabel="Total" dataDxfId="19" totalsRowDxfId="18"/>
    <tableColumn id="2" xr3:uid="{CDE417D2-BD01-47F1-9F6B-430B03E7CF79}" name="Amount" totalsRowFunction="sum" dataDxfId="17" totalsRowDxfId="16"/>
  </tableColumns>
  <tableStyleInfo name="College Budg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F4915F-340B-4EB6-A71D-A550B932B58A}" name="Monthly_Expenses" displayName="Monthly_Expenses" ref="E28:F40" totalsRowCount="1" headerRowDxfId="15" dataDxfId="14" totalsRowDxfId="13">
  <autoFilter ref="E28:F39" xr:uid="{79F4915F-340B-4EB6-A71D-A550B932B58A}"/>
  <tableColumns count="2">
    <tableColumn id="1" xr3:uid="{1C80B644-0705-4A4D-9AEE-3126DC2A62B1}" name="Item" totalsRowLabel="Total" dataDxfId="12" totalsRowDxfId="11"/>
    <tableColumn id="2" xr3:uid="{FFE21B24-6787-4B85-9FAB-36BF67B4A03F}" name="Amount" totalsRowFunction="sum" dataDxfId="10" totalsRowDxfId="9"/>
  </tableColumns>
  <tableStyleInfo name="Monthly Expense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182F2E-E82E-4B19-82D4-53D7EEF32AAF}" name="Semester_Expenses" displayName="Semester_Expenses" ref="H29:J36" totalsRowCount="1" headerRowDxfId="8" dataDxfId="7" totalsRowDxfId="6">
  <autoFilter ref="H29:J35" xr:uid="{48182F2E-E82E-4B19-82D4-53D7EEF32AAF}"/>
  <tableColumns count="3">
    <tableColumn id="1" xr3:uid="{89DF3810-5C8D-4BCA-A49E-9B47C3E383D4}" name="Item" totalsRowLabel="Total" dataDxfId="5" totalsRowDxfId="4"/>
    <tableColumn id="2" xr3:uid="{A52DA904-847C-486B-94D4-79A0F208918A}" name="Amount" totalsRowFunction="sum" dataDxfId="3" totalsRowDxfId="2"/>
    <tableColumn id="3" xr3:uid="{6630D331-10E9-4BA6-9284-4ED7B0E56AB5}" name="Per month" totalsRowFunction="custom" dataDxfId="1" totalsRowDxfId="0" totalsRowCellStyle="Currency">
      <calculatedColumnFormula>Semester_Expenses[[#This Row],[Amount]]/Months_in_semester</calculatedColumnFormula>
      <totalsRowFormula>SUM(J30:J35)</totalsRowFormula>
    </tableColumn>
  </tableColumns>
  <tableStyleInfo name="Monthly Incom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5EB5B-3DC8-4374-B4CF-6FEE00727D2E}">
  <sheetPr codeName="Sheet2"/>
  <dimension ref="A1:Q7"/>
  <sheetViews>
    <sheetView tabSelected="1" workbookViewId="0">
      <selection activeCell="L9" sqref="L9"/>
    </sheetView>
  </sheetViews>
  <sheetFormatPr defaultRowHeight="14.5" x14ac:dyDescent="0.35"/>
  <cols>
    <col min="1" max="1" width="14" bestFit="1" customWidth="1"/>
  </cols>
  <sheetData>
    <row r="1" spans="1:17" ht="16" x14ac:dyDescent="0.4">
      <c r="A1" s="24" t="s">
        <v>41</v>
      </c>
    </row>
    <row r="2" spans="1:17" x14ac:dyDescent="0.35">
      <c r="A2" s="25" t="s">
        <v>30</v>
      </c>
      <c r="B2" s="25">
        <f>Monthly!C33</f>
        <v>2750</v>
      </c>
      <c r="E2" s="25" t="s">
        <v>34</v>
      </c>
      <c r="F2" s="25">
        <f>0.1*B6</f>
        <v>73.025000000000006</v>
      </c>
      <c r="J2" s="25" t="s">
        <v>37</v>
      </c>
      <c r="K2" s="26">
        <f>$F$4/4</f>
        <v>127.79374999999999</v>
      </c>
      <c r="M2" t="s">
        <v>42</v>
      </c>
    </row>
    <row r="3" spans="1:17" x14ac:dyDescent="0.35">
      <c r="A3" s="25" t="s">
        <v>31</v>
      </c>
      <c r="B3" s="25">
        <f>Monthly!F40</f>
        <v>1725</v>
      </c>
      <c r="E3" s="25" t="s">
        <v>35</v>
      </c>
      <c r="F3" s="25">
        <f>B6*0.2</f>
        <v>146.05000000000001</v>
      </c>
      <c r="J3" s="25" t="s">
        <v>38</v>
      </c>
      <c r="K3" s="26">
        <f t="shared" ref="K3:K5" si="0">$F$4/4</f>
        <v>127.79374999999999</v>
      </c>
      <c r="M3" s="27"/>
      <c r="N3" s="27"/>
      <c r="O3" s="27"/>
      <c r="P3" s="27"/>
      <c r="Q3" s="27"/>
    </row>
    <row r="4" spans="1:17" x14ac:dyDescent="0.35">
      <c r="A4" s="25" t="s">
        <v>32</v>
      </c>
      <c r="B4" s="25">
        <f>Monthly!J36</f>
        <v>294.75</v>
      </c>
      <c r="E4" s="25" t="s">
        <v>36</v>
      </c>
      <c r="F4" s="25">
        <f>B6*0.7</f>
        <v>511.17499999999995</v>
      </c>
      <c r="J4" s="25" t="s">
        <v>39</v>
      </c>
      <c r="K4" s="26">
        <f t="shared" si="0"/>
        <v>127.79374999999999</v>
      </c>
      <c r="M4" s="27"/>
      <c r="N4" s="27"/>
      <c r="O4" s="27"/>
      <c r="P4" s="27"/>
      <c r="Q4" s="27"/>
    </row>
    <row r="5" spans="1:17" x14ac:dyDescent="0.35">
      <c r="J5" s="25" t="s">
        <v>40</v>
      </c>
      <c r="K5" s="26">
        <f t="shared" si="0"/>
        <v>127.79374999999999</v>
      </c>
      <c r="M5" s="27"/>
      <c r="N5" s="27"/>
      <c r="O5" s="27"/>
      <c r="P5" s="27"/>
      <c r="Q5" s="27"/>
    </row>
    <row r="6" spans="1:17" x14ac:dyDescent="0.35">
      <c r="A6" s="25" t="s">
        <v>33</v>
      </c>
      <c r="B6" s="25">
        <f>B2-(B3+B4)</f>
        <v>730.25</v>
      </c>
      <c r="M6" s="27"/>
      <c r="N6" s="27"/>
      <c r="O6" s="27"/>
      <c r="P6" s="27"/>
      <c r="Q6" s="27"/>
    </row>
    <row r="7" spans="1:17" x14ac:dyDescent="0.35">
      <c r="M7" s="27"/>
      <c r="N7" s="27"/>
      <c r="O7" s="27"/>
      <c r="P7" s="27"/>
      <c r="Q7" s="27"/>
    </row>
  </sheetData>
  <mergeCells count="1">
    <mergeCell ref="M3:Q7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DA2A3-CA18-4B2E-B6FA-C9B50BD505D0}">
  <sheetPr codeName="Sheet1"/>
  <dimension ref="A1:L40"/>
  <sheetViews>
    <sheetView topLeftCell="A6" zoomScale="92" workbookViewId="0">
      <selection activeCell="I33" sqref="I33"/>
    </sheetView>
  </sheetViews>
  <sheetFormatPr defaultRowHeight="14.5" x14ac:dyDescent="0.35"/>
  <cols>
    <col min="2" max="2" width="13.54296875" bestFit="1" customWidth="1"/>
    <col min="3" max="3" width="13.81640625" bestFit="1" customWidth="1"/>
    <col min="5" max="5" width="14.1796875" bestFit="1" customWidth="1"/>
    <col min="6" max="6" width="13.81640625" bestFit="1" customWidth="1"/>
    <col min="8" max="8" width="14.1796875" bestFit="1" customWidth="1"/>
    <col min="9" max="9" width="13.81640625" bestFit="1" customWidth="1"/>
    <col min="10" max="10" width="15.81640625" bestFit="1" customWidth="1"/>
  </cols>
  <sheetData>
    <row r="1" spans="1:10" x14ac:dyDescent="0.35">
      <c r="A1" s="1"/>
    </row>
    <row r="2" spans="1:10" ht="104.5" x14ac:dyDescent="0.35">
      <c r="B2" s="28" t="s">
        <v>29</v>
      </c>
      <c r="C2" s="29"/>
      <c r="D2" s="29"/>
      <c r="E2" s="29"/>
      <c r="F2" s="29"/>
      <c r="G2" s="29"/>
      <c r="H2" s="29"/>
      <c r="I2" s="29"/>
      <c r="J2" s="29"/>
    </row>
    <row r="3" spans="1:10" x14ac:dyDescent="0.35">
      <c r="A3" s="2"/>
    </row>
    <row r="4" spans="1:10" x14ac:dyDescent="0.35">
      <c r="A4" s="1"/>
    </row>
    <row r="10" spans="1:10" ht="15" thickBot="1" x14ac:dyDescent="0.4"/>
    <row r="11" spans="1:10" x14ac:dyDescent="0.35">
      <c r="A11" s="1"/>
      <c r="B11" s="3"/>
      <c r="C11" s="4"/>
      <c r="D11" s="4"/>
      <c r="E11" s="4"/>
      <c r="F11" s="4"/>
      <c r="G11" s="4"/>
      <c r="H11" s="30"/>
      <c r="I11" s="30"/>
      <c r="J11" s="31"/>
    </row>
    <row r="12" spans="1:10" x14ac:dyDescent="0.35">
      <c r="B12" s="5"/>
      <c r="J12" s="6"/>
    </row>
    <row r="13" spans="1:10" x14ac:dyDescent="0.35">
      <c r="B13" s="5"/>
      <c r="J13" s="6"/>
    </row>
    <row r="14" spans="1:10" x14ac:dyDescent="0.35">
      <c r="B14" s="5"/>
      <c r="J14" s="6"/>
    </row>
    <row r="15" spans="1:10" x14ac:dyDescent="0.35">
      <c r="B15" s="5"/>
      <c r="J15" s="6"/>
    </row>
    <row r="16" spans="1:10" x14ac:dyDescent="0.35">
      <c r="B16" s="5"/>
      <c r="J16" s="6"/>
    </row>
    <row r="17" spans="1:12" x14ac:dyDescent="0.35">
      <c r="B17" s="5"/>
      <c r="J17" s="6"/>
    </row>
    <row r="18" spans="1:12" x14ac:dyDescent="0.35">
      <c r="B18" s="5"/>
      <c r="J18" s="6"/>
    </row>
    <row r="19" spans="1:12" x14ac:dyDescent="0.35">
      <c r="B19" s="5"/>
      <c r="J19" s="6"/>
    </row>
    <row r="20" spans="1:12" x14ac:dyDescent="0.35">
      <c r="B20" s="5"/>
      <c r="J20" s="6"/>
    </row>
    <row r="21" spans="1:12" x14ac:dyDescent="0.35">
      <c r="A21" s="1"/>
      <c r="B21" s="5"/>
      <c r="J21" s="6"/>
    </row>
    <row r="22" spans="1:12" x14ac:dyDescent="0.35">
      <c r="A22" s="1"/>
      <c r="B22" s="5"/>
      <c r="J22" s="6"/>
    </row>
    <row r="23" spans="1:12" x14ac:dyDescent="0.35">
      <c r="A23" s="1"/>
      <c r="B23" s="5"/>
      <c r="J23" s="6"/>
    </row>
    <row r="24" spans="1:12" ht="15" thickBot="1" x14ac:dyDescent="0.4">
      <c r="A24" s="1"/>
      <c r="B24" s="7"/>
      <c r="C24" s="8"/>
      <c r="D24" s="8"/>
      <c r="E24" s="8"/>
      <c r="F24" s="8"/>
      <c r="G24" s="8"/>
      <c r="H24" s="8"/>
      <c r="I24" s="8"/>
      <c r="J24" s="9"/>
    </row>
    <row r="25" spans="1:12" x14ac:dyDescent="0.35">
      <c r="A25" s="1"/>
    </row>
    <row r="26" spans="1:12" ht="16.5" thickBot="1" x14ac:dyDescent="0.4">
      <c r="A26" s="10"/>
      <c r="B26" s="32" t="s">
        <v>0</v>
      </c>
      <c r="C26" s="32"/>
      <c r="E26" s="33" t="s">
        <v>1</v>
      </c>
      <c r="F26" s="33"/>
      <c r="H26" s="34" t="s">
        <v>2</v>
      </c>
      <c r="I26" s="34"/>
      <c r="J26" s="34"/>
    </row>
    <row r="27" spans="1:12" ht="15" thickTop="1" x14ac:dyDescent="0.35">
      <c r="H27" s="35" t="s">
        <v>3</v>
      </c>
      <c r="I27" s="35"/>
      <c r="J27" s="11">
        <v>4</v>
      </c>
    </row>
    <row r="28" spans="1:12" ht="34.5" x14ac:dyDescent="0.35">
      <c r="A28" s="12"/>
      <c r="B28" s="20" t="s">
        <v>4</v>
      </c>
      <c r="C28" s="21" t="s">
        <v>5</v>
      </c>
      <c r="D28" s="14"/>
      <c r="E28" s="22" t="s">
        <v>4</v>
      </c>
      <c r="F28" s="22" t="s">
        <v>5</v>
      </c>
      <c r="G28" s="15"/>
      <c r="H28" s="16"/>
      <c r="I28" s="16"/>
      <c r="J28" s="16"/>
    </row>
    <row r="29" spans="1:12" x14ac:dyDescent="0.35">
      <c r="A29" s="12"/>
      <c r="B29" s="14" t="s">
        <v>6</v>
      </c>
      <c r="C29" s="17">
        <v>1500</v>
      </c>
      <c r="D29" s="14"/>
      <c r="E29" s="14" t="s">
        <v>7</v>
      </c>
      <c r="F29" s="17">
        <v>350</v>
      </c>
      <c r="G29" s="16"/>
      <c r="H29" s="23" t="s">
        <v>4</v>
      </c>
      <c r="I29" s="23" t="s">
        <v>5</v>
      </c>
      <c r="J29" s="23" t="s">
        <v>8</v>
      </c>
    </row>
    <row r="30" spans="1:12" x14ac:dyDescent="0.35">
      <c r="A30" s="12"/>
      <c r="B30" s="14" t="s">
        <v>9</v>
      </c>
      <c r="C30" s="17">
        <v>500</v>
      </c>
      <c r="D30" s="14"/>
      <c r="E30" s="14" t="s">
        <v>10</v>
      </c>
      <c r="F30" s="17">
        <v>50</v>
      </c>
      <c r="G30" s="14"/>
      <c r="H30" s="14" t="s">
        <v>11</v>
      </c>
      <c r="I30" s="13">
        <v>590</v>
      </c>
      <c r="J30" s="17">
        <f>Semester_Expenses[[#This Row],[Amount]]/Months_in_semester</f>
        <v>147.5</v>
      </c>
    </row>
    <row r="31" spans="1:12" x14ac:dyDescent="0.35">
      <c r="A31" s="12"/>
      <c r="B31" s="14" t="s">
        <v>12</v>
      </c>
      <c r="C31" s="17">
        <v>500</v>
      </c>
      <c r="D31" s="14"/>
      <c r="E31" s="14" t="s">
        <v>13</v>
      </c>
      <c r="F31" s="17">
        <v>75</v>
      </c>
      <c r="G31" s="14"/>
      <c r="H31" s="14" t="s">
        <v>14</v>
      </c>
      <c r="I31" s="13">
        <v>150</v>
      </c>
      <c r="J31" s="17">
        <f>Semester_Expenses[[#This Row],[Amount]]/Months_in_semester</f>
        <v>37.5</v>
      </c>
      <c r="L31" s="18"/>
    </row>
    <row r="32" spans="1:12" x14ac:dyDescent="0.35">
      <c r="A32" s="12"/>
      <c r="B32" s="14" t="s">
        <v>15</v>
      </c>
      <c r="C32" s="17">
        <v>250</v>
      </c>
      <c r="D32" s="14"/>
      <c r="E32" s="14" t="s">
        <v>16</v>
      </c>
      <c r="F32" s="17">
        <v>250</v>
      </c>
      <c r="G32" s="14"/>
      <c r="H32" s="14" t="s">
        <v>17</v>
      </c>
      <c r="I32" s="13">
        <v>200</v>
      </c>
      <c r="J32" s="17">
        <f>Semester_Expenses[[#This Row],[Amount]]/Months_in_semester</f>
        <v>50</v>
      </c>
    </row>
    <row r="33" spans="2:10" x14ac:dyDescent="0.35">
      <c r="B33" s="16" t="s">
        <v>18</v>
      </c>
      <c r="C33" s="17">
        <f>SUBTOTAL(109,Monthly_Income[Amount])</f>
        <v>2750</v>
      </c>
      <c r="D33" s="16"/>
      <c r="E33" s="16" t="s">
        <v>19</v>
      </c>
      <c r="F33" s="17">
        <v>50</v>
      </c>
      <c r="G33" s="14"/>
      <c r="H33" s="14" t="s">
        <v>20</v>
      </c>
      <c r="I33" s="13">
        <v>0</v>
      </c>
      <c r="J33" s="17">
        <f>Semester_Expenses[[#This Row],[Amount]]/Months_in_semester</f>
        <v>0</v>
      </c>
    </row>
    <row r="34" spans="2:10" x14ac:dyDescent="0.35">
      <c r="B34" s="16"/>
      <c r="C34" s="16"/>
      <c r="D34" s="16"/>
      <c r="E34" s="16" t="s">
        <v>21</v>
      </c>
      <c r="F34" s="17">
        <v>500</v>
      </c>
      <c r="G34" s="14"/>
      <c r="H34" s="16" t="s">
        <v>22</v>
      </c>
      <c r="I34" s="13">
        <v>150</v>
      </c>
      <c r="J34" s="17">
        <f>Semester_Expenses[[#This Row],[Amount]]/Months_in_semester</f>
        <v>37.5</v>
      </c>
    </row>
    <row r="35" spans="2:10" x14ac:dyDescent="0.35">
      <c r="B35" s="16"/>
      <c r="C35" s="16"/>
      <c r="D35" s="16"/>
      <c r="E35" s="16" t="s">
        <v>23</v>
      </c>
      <c r="F35" s="17">
        <v>275</v>
      </c>
      <c r="G35" s="16"/>
      <c r="H35" s="16" t="s">
        <v>24</v>
      </c>
      <c r="I35" s="13">
        <v>89</v>
      </c>
      <c r="J35" s="17">
        <f>Semester_Expenses[[#This Row],[Amount]]/Months_in_semester</f>
        <v>22.25</v>
      </c>
    </row>
    <row r="36" spans="2:10" x14ac:dyDescent="0.35">
      <c r="B36" s="16"/>
      <c r="C36" s="16"/>
      <c r="D36" s="16"/>
      <c r="E36" s="16" t="s">
        <v>25</v>
      </c>
      <c r="F36" s="17">
        <v>125</v>
      </c>
      <c r="G36" s="16"/>
      <c r="H36" s="16" t="s">
        <v>18</v>
      </c>
      <c r="I36" s="13">
        <f>SUBTOTAL(109,Semester_Expenses[Amount])</f>
        <v>1179</v>
      </c>
      <c r="J36" s="19">
        <f>SUM(J30:J35)</f>
        <v>294.75</v>
      </c>
    </row>
    <row r="37" spans="2:10" x14ac:dyDescent="0.35">
      <c r="B37" s="16"/>
      <c r="C37" s="16"/>
      <c r="D37" s="16"/>
      <c r="E37" s="16" t="s">
        <v>26</v>
      </c>
      <c r="F37" s="17">
        <v>50</v>
      </c>
      <c r="G37" s="16"/>
      <c r="H37" s="16"/>
      <c r="I37" s="16"/>
      <c r="J37" s="16"/>
    </row>
    <row r="38" spans="2:10" x14ac:dyDescent="0.35">
      <c r="B38" s="16"/>
      <c r="C38" s="16"/>
      <c r="D38" s="16"/>
      <c r="E38" s="16" t="s">
        <v>27</v>
      </c>
      <c r="F38" s="17">
        <v>0</v>
      </c>
      <c r="G38" s="16"/>
      <c r="H38" s="16"/>
      <c r="I38" s="16"/>
      <c r="J38" s="16"/>
    </row>
    <row r="39" spans="2:10" x14ac:dyDescent="0.35">
      <c r="B39" s="16"/>
      <c r="C39" s="16"/>
      <c r="D39" s="16"/>
      <c r="E39" s="16" t="s">
        <v>28</v>
      </c>
      <c r="F39" s="17">
        <v>0</v>
      </c>
      <c r="G39" s="16"/>
      <c r="H39" s="16"/>
      <c r="I39" s="16"/>
      <c r="J39" s="16"/>
    </row>
    <row r="40" spans="2:10" x14ac:dyDescent="0.35">
      <c r="B40" s="16"/>
      <c r="C40" s="16"/>
      <c r="D40" s="16"/>
      <c r="E40" s="16" t="s">
        <v>18</v>
      </c>
      <c r="F40" s="17">
        <f>SUBTOTAL(109,Monthly_Expenses[Amount])</f>
        <v>1725</v>
      </c>
      <c r="G40" s="16"/>
      <c r="H40" s="16"/>
      <c r="I40" s="16"/>
      <c r="J40" s="16"/>
    </row>
  </sheetData>
  <mergeCells count="6">
    <mergeCell ref="H27:I27"/>
    <mergeCell ref="B2:J2"/>
    <mergeCell ref="H11:J11"/>
    <mergeCell ref="B26:C26"/>
    <mergeCell ref="E26:F26"/>
    <mergeCell ref="H26:J26"/>
  </mergeCells>
  <dataValidations count="4">
    <dataValidation allowBlank="1" showInputMessage="1" showErrorMessage="1" prompt="Type all your income and expenses in tables on this sheet. Type how long (in months) your semester is in cell J27." sqref="A26" xr:uid="{39970B6A-A65E-462E-A393-1D4B26208440}"/>
    <dataValidation allowBlank="1" showInputMessage="1" showErrorMessage="1" prompt="Chart in cells B11, E11 &amp; H11 are updated automatically. Values are based on data from the tables in cells B28, E28 &amp; H29._x000a_Next tip is in cell A26." sqref="A11" xr:uid="{90D8F598-DA76-444F-9EE3-09593BFF59C1}"/>
    <dataValidation allowBlank="1" showInputMessage="1" showErrorMessage="1" prompt="Create college budget in this worksheet. Next tip is in cell A4." sqref="A1" xr:uid="{18DFC80E-5C6D-492D-9277-E2D8CC5B6E9A}"/>
    <dataValidation allowBlank="1" showInputMessage="1" showErrorMessage="1" prompt="Chart in cell B4 is updated automatically. Values are based on data from the tables in cells B28, E28 &amp; H29. Next tip in cell A11" sqref="A4" xr:uid="{FCEBA8D7-967C-4BC8-832A-03EF83B4458C}"/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f82b858-fa36-442f-85b0-cc7b76a9e4c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7A8FCE13C875428BAA08E0CCF216BA" ma:contentTypeVersion="8" ma:contentTypeDescription="Create a new document." ma:contentTypeScope="" ma:versionID="c5ca5e0b3128a57a04dda0666cbc0454">
  <xsd:schema xmlns:xsd="http://www.w3.org/2001/XMLSchema" xmlns:xs="http://www.w3.org/2001/XMLSchema" xmlns:p="http://schemas.microsoft.com/office/2006/metadata/properties" xmlns:ns3="df82b858-fa36-442f-85b0-cc7b76a9e4cd" xmlns:ns4="0439513c-ecd6-4f76-8277-308ede26bdcb" targetNamespace="http://schemas.microsoft.com/office/2006/metadata/properties" ma:root="true" ma:fieldsID="b06573a02a623f370e67886b21b3ea7d" ns3:_="" ns4:_="">
    <xsd:import namespace="df82b858-fa36-442f-85b0-cc7b76a9e4cd"/>
    <xsd:import namespace="0439513c-ecd6-4f76-8277-308ede26bdc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2b858-fa36-442f-85b0-cc7b76a9e4c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39513c-ecd6-4f76-8277-308ede26bdcb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69F2BE6-F7F2-49D8-8704-67DC2AB4E5DD}">
  <ds:schemaRefs>
    <ds:schemaRef ds:uri="df82b858-fa36-442f-85b0-cc7b76a9e4cd"/>
    <ds:schemaRef ds:uri="0439513c-ecd6-4f76-8277-308ede26bdcb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C0DEC0-BF99-40AF-8DBE-92A23A410F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4921A6-3C83-41FA-8AE1-5A75B4D0EB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2b858-fa36-442f-85b0-cc7b76a9e4cd"/>
    <ds:schemaRef ds:uri="0439513c-ecd6-4f76-8277-308ede26bd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202cd47-7a56-4baa-99e3-e3b71a7c77dd}" enabled="0" method="" siteId="{e202cd47-7a56-4baa-99e3-e3b71a7c77d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 Money </vt:lpstr>
      <vt:lpstr>Monthly</vt:lpstr>
      <vt:lpstr>Months_in_semester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Estrada, Litzy</dc:creator>
  <cp:lastModifiedBy>Estrada, Litzy</cp:lastModifiedBy>
  <cp:lastPrinted>2024-05-29T21:22:16Z</cp:lastPrinted>
  <dcterms:created xsi:type="dcterms:W3CDTF">2024-05-23T02:15:10Z</dcterms:created>
  <dcterms:modified xsi:type="dcterms:W3CDTF">2024-05-29T21:26:50Z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0x010100517A8FCE13C875428BAA08E0CCF216BA</vt:lpwstr>
  </property>
</Properties>
</file>